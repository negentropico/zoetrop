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hopping List" sheetId="2" state="visible" r:id="rId2"/>
    <sheet name="Daily Schedule" sheetId="3" state="visible" r:id="rId3"/>
    <sheet name="Avoid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5911"/>
      </patternFill>
    </fill>
    <fill>
      <patternFill patternType="solid">
        <fgColor rgb="00FF6B6B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FCC00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/>
    </xf>
    <xf numFmtId="0" fontId="2" fillId="7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0" borderId="0" pivotButton="0" quotePrefix="0" xfId="0"/>
    <xf numFmtId="0" fontId="3" fillId="8" borderId="1" applyAlignment="1" pivotButton="0" quotePrefix="0" xfId="0">
      <alignment horizontal="center"/>
    </xf>
    <xf numFmtId="0" fontId="0" fillId="4" borderId="1" pivotButton="0" quotePrefix="0" xfId="0"/>
    <xf numFmtId="0" fontId="0" fillId="3" borderId="1" pivotButton="0" quotePrefix="0" xfId="0"/>
    <xf numFmtId="0" fontId="3" fillId="9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2" fillId="11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5" customWidth="1" min="10" max="10"/>
    <col width="30" customWidth="1" min="11" max="11"/>
    <col width="25" customWidth="1" min="12" max="12"/>
    <col width="20" customWidth="1" min="13" max="13"/>
    <col width="28" customWidth="1" min="14" max="14"/>
    <col width="10" customWidth="1" min="15" max="15"/>
    <col width="10" customWidth="1" min="16" max="16"/>
    <col width="22" customWidth="1" min="17" max="17"/>
    <col width="12" customWidth="1" min="18" max="18"/>
  </cols>
  <sheetData>
    <row r="1">
      <c r="A1" s="1" t="inlineStr">
        <is>
          <t>Product</t>
        </is>
      </c>
      <c r="B1" s="1" t="inlineStr">
        <is>
          <t>Active Ingredient</t>
        </is>
      </c>
      <c r="C1" s="1" t="inlineStr">
        <is>
          <t>Dosage</t>
        </is>
      </c>
      <c r="D1" s="1" t="inlineStr">
        <is>
          <t>Daily Pills</t>
        </is>
      </c>
      <c r="E1" s="1" t="inlineStr">
        <is>
          <t>Pills In Stock</t>
        </is>
      </c>
      <c r="F1" s="1" t="inlineStr">
        <is>
          <t>Days Remaining</t>
        </is>
      </c>
      <c r="G1" s="1" t="inlineStr">
        <is>
          <t>Unit Cost ($)</t>
        </is>
      </c>
      <c r="H1" s="1" t="inlineStr">
        <is>
          <t>Cost/Day ($)</t>
        </is>
      </c>
      <c r="I1" s="1" t="inlineStr">
        <is>
          <t>Manufacturer</t>
        </is>
      </c>
      <c r="J1" s="1" t="inlineStr">
        <is>
          <t>Intended Benefit</t>
        </is>
      </c>
      <c r="K1" s="1" t="inlineStr">
        <is>
          <t>Contraindications</t>
        </is>
      </c>
      <c r="L1" s="1" t="inlineStr">
        <is>
          <t>Synergies/Enhancers</t>
        </is>
      </c>
      <c r="M1" s="1" t="inlineStr">
        <is>
          <t>Optimal Timing</t>
        </is>
      </c>
      <c r="N1" s="1" t="inlineStr">
        <is>
          <t>Absorption Notes</t>
        </is>
      </c>
      <c r="O1" s="1" t="inlineStr">
        <is>
          <t>Solubility</t>
        </is>
      </c>
      <c r="P1" s="1" t="inlineStr">
        <is>
          <t>Tier</t>
        </is>
      </c>
      <c r="Q1" s="1" t="inlineStr">
        <is>
          <t>Cycling</t>
        </is>
      </c>
      <c r="R1" s="1" t="inlineStr">
        <is>
          <t>Status</t>
        </is>
      </c>
    </row>
    <row r="2">
      <c r="A2" s="2" t="inlineStr">
        <is>
          <t>Harmons NAC 600mg</t>
        </is>
      </c>
      <c r="B2" s="2" t="inlineStr">
        <is>
          <t>N-Acetyl Cysteine</t>
        </is>
      </c>
      <c r="C2" s="2" t="inlineStr">
        <is>
          <t>600mg</t>
        </is>
      </c>
      <c r="D2" s="2" t="n">
        <v>2</v>
      </c>
      <c r="E2" s="2" t="n">
        <v>60</v>
      </c>
      <c r="F2" s="2">
        <f>IF(D2&gt;0,E2/D2,0)</f>
        <v/>
      </c>
      <c r="G2" s="2" t="n">
        <v>15</v>
      </c>
      <c r="H2" s="2">
        <f>IF(E2&gt;0,G2/30*D2,G2/30*D2)</f>
        <v/>
      </c>
      <c r="I2" s="2" t="inlineStr">
        <is>
          <t>Harmons</t>
        </is>
      </c>
      <c r="J2" s="2" t="inlineStr">
        <is>
          <t>Glutathione, liver detox, FAAH support</t>
        </is>
      </c>
      <c r="K2" s="2" t="inlineStr">
        <is>
          <t>Away from protein meals</t>
        </is>
      </c>
      <c r="L2" s="2" t="inlineStr">
        <is>
          <t>Vitamin C, Selenium</t>
        </is>
      </c>
      <c r="M2" s="2" t="inlineStr">
        <is>
          <t>Morning + 8:00 PM</t>
        </is>
      </c>
      <c r="N2" s="2" t="inlineStr">
        <is>
          <t>Away from protein (amino competition)</t>
        </is>
      </c>
      <c r="O2" s="2" t="inlineStr">
        <is>
          <t>Water</t>
        </is>
      </c>
      <c r="P2" s="2" t="inlineStr">
        <is>
          <t>Tier 1</t>
        </is>
      </c>
      <c r="Q2" s="2" t="inlineStr">
        <is>
          <t>Continuous during cessation</t>
        </is>
      </c>
      <c r="R2" s="3" t="inlineStr">
        <is>
          <t>HAVE</t>
        </is>
      </c>
    </row>
    <row r="3">
      <c r="A3" s="2" t="inlineStr">
        <is>
          <t>Magtein Mag L-Threonate</t>
        </is>
      </c>
      <c r="B3" s="2" t="inlineStr">
        <is>
          <t>Magnesium L-Threonate</t>
        </is>
      </c>
      <c r="C3" s="2" t="inlineStr">
        <is>
          <t>144mg</t>
        </is>
      </c>
      <c r="D3" s="2" t="n">
        <v>1</v>
      </c>
      <c r="E3" s="2" t="n">
        <v>30</v>
      </c>
      <c r="F3" s="2">
        <f>IF(D3&gt;0,E3/D3,0)</f>
        <v/>
      </c>
      <c r="G3" s="2" t="n">
        <v>25</v>
      </c>
      <c r="H3" s="2">
        <f>IF(E3&gt;0,G3/30*D3,G3/30*D3)</f>
        <v/>
      </c>
      <c r="I3" s="2" t="inlineStr">
        <is>
          <t>Magtein/Life Extension</t>
        </is>
      </c>
      <c r="J3" s="2" t="inlineStr">
        <is>
          <t>Brain magnesium, cognitive function</t>
        </is>
      </c>
      <c r="K3" s="2" t="inlineStr">
        <is>
          <t>None significant</t>
        </is>
      </c>
      <c r="L3" s="2" t="inlineStr">
        <is>
          <t>Cognitive stack</t>
        </is>
      </c>
      <c r="M3" s="2" t="inlineStr">
        <is>
          <t>Morning</t>
        </is>
      </c>
      <c r="N3" s="2" t="inlineStr">
        <is>
          <t>Crosses blood-brain barrier</t>
        </is>
      </c>
      <c r="O3" s="2" t="inlineStr">
        <is>
          <t>Water</t>
        </is>
      </c>
      <c r="P3" s="2" t="inlineStr">
        <is>
          <t>Optional</t>
        </is>
      </c>
      <c r="Q3" s="2" t="inlineStr">
        <is>
          <t>None</t>
        </is>
      </c>
      <c r="R3" s="3" t="inlineStr">
        <is>
          <t>HAVE</t>
        </is>
      </c>
    </row>
    <row r="4">
      <c r="A4" s="2" t="inlineStr">
        <is>
          <t>Suntheanine L-Theanine</t>
        </is>
      </c>
      <c r="B4" s="2" t="inlineStr">
        <is>
          <t>L-Theanine</t>
        </is>
      </c>
      <c r="C4" s="2" t="inlineStr">
        <is>
          <t>250mg</t>
        </is>
      </c>
      <c r="D4" s="2" t="n">
        <v>1</v>
      </c>
      <c r="E4" s="2" t="n">
        <v>30</v>
      </c>
      <c r="F4" s="2">
        <f>IF(D4&gt;0,E4/D4,0)</f>
        <v/>
      </c>
      <c r="G4" s="2" t="n">
        <v>12</v>
      </c>
      <c r="H4" s="2">
        <f>IF(E4&gt;0,G4/30*D4,G4/30*D4)</f>
        <v/>
      </c>
      <c r="I4" s="2" t="inlineStr">
        <is>
          <t>Suntheanine</t>
        </is>
      </c>
      <c r="J4" s="2" t="inlineStr">
        <is>
          <t>Calm focus, anxiety relief</t>
        </is>
      </c>
      <c r="K4" s="2" t="inlineStr">
        <is>
          <t>Monitor for activation (ASD)</t>
        </is>
      </c>
      <c r="L4" s="2" t="inlineStr">
        <is>
          <t>Caffeine for focus</t>
        </is>
      </c>
      <c r="M4" s="2" t="inlineStr">
        <is>
          <t>PRN (as needed)</t>
        </is>
      </c>
      <c r="N4" s="2" t="inlineStr">
        <is>
          <t>Good absorption</t>
        </is>
      </c>
      <c r="O4" s="2" t="inlineStr">
        <is>
          <t>Water</t>
        </is>
      </c>
      <c r="P4" s="2" t="inlineStr">
        <is>
          <t>Tier 2</t>
        </is>
      </c>
      <c r="Q4" s="2" t="inlineStr">
        <is>
          <t>PRN only</t>
        </is>
      </c>
      <c r="R4" s="3" t="inlineStr">
        <is>
          <t>HAVE</t>
        </is>
      </c>
    </row>
    <row r="5">
      <c r="A5" s="2" t="inlineStr">
        <is>
          <t>LifeSeasons Clari-T</t>
        </is>
      </c>
      <c r="B5" s="2" t="inlineStr">
        <is>
          <t>Bacopa 425mg, Ginkgo 120mg, PS 100mg, Huperzine A</t>
        </is>
      </c>
      <c r="C5" s="2" t="inlineStr">
        <is>
          <t>1 cap</t>
        </is>
      </c>
      <c r="D5" s="2" t="n">
        <v>1</v>
      </c>
      <c r="E5" s="2" t="n">
        <v>30</v>
      </c>
      <c r="F5" s="2">
        <f>IF(D5&gt;0,E5/D5,0)</f>
        <v/>
      </c>
      <c r="G5" s="2" t="n">
        <v>22</v>
      </c>
      <c r="H5" s="2">
        <f>IF(E5&gt;0,G5/30*D5,G5/30*D5)</f>
        <v/>
      </c>
      <c r="I5" s="2" t="inlineStr">
        <is>
          <t>LifeSeasons</t>
        </is>
      </c>
      <c r="J5" s="2" t="inlineStr">
        <is>
          <t>Cognitive support, memory</t>
        </is>
      </c>
      <c r="K5" s="2" t="inlineStr">
        <is>
          <t>Blood thinners (Ginkgo)</t>
        </is>
      </c>
      <c r="L5" s="2" t="inlineStr">
        <is>
          <t>Magtein, Omega-3</t>
        </is>
      </c>
      <c r="M5" s="2" t="inlineStr">
        <is>
          <t>Morning</t>
        </is>
      </c>
      <c r="N5" s="2" t="inlineStr">
        <is>
          <t>Take with food</t>
        </is>
      </c>
      <c r="O5" s="2" t="inlineStr">
        <is>
          <t>Both</t>
        </is>
      </c>
      <c r="P5" s="2" t="inlineStr">
        <is>
          <t>Optional</t>
        </is>
      </c>
      <c r="Q5" s="2" t="inlineStr">
        <is>
          <t>None</t>
        </is>
      </c>
      <c r="R5" s="3" t="inlineStr">
        <is>
          <t>HAVE</t>
        </is>
      </c>
    </row>
    <row r="6">
      <c r="A6" s="2" t="inlineStr">
        <is>
          <t>LifeSeasons Antioxidant</t>
        </is>
      </c>
      <c r="B6" s="2" t="inlineStr">
        <is>
          <t>R-ALA 100mg, Resveratrol 100mg</t>
        </is>
      </c>
      <c r="C6" s="2" t="inlineStr">
        <is>
          <t>1 cap</t>
        </is>
      </c>
      <c r="D6" s="2" t="n">
        <v>1</v>
      </c>
      <c r="E6" s="2" t="n">
        <v>30</v>
      </c>
      <c r="F6" s="2">
        <f>IF(D6&gt;0,E6/D6,0)</f>
        <v/>
      </c>
      <c r="G6" s="2" t="n">
        <v>18</v>
      </c>
      <c r="H6" s="2">
        <f>IF(E6&gt;0,G6/30*D6,G6/30*D6)</f>
        <v/>
      </c>
      <c r="I6" s="2" t="inlineStr">
        <is>
          <t>LifeSeasons</t>
        </is>
      </c>
      <c r="J6" s="2" t="inlineStr">
        <is>
          <t>Mitochondrial support, antioxidant</t>
        </is>
      </c>
      <c r="K6" s="2" t="inlineStr">
        <is>
          <t>May lower blood sugar</t>
        </is>
      </c>
      <c r="L6" s="2" t="inlineStr">
        <is>
          <t>CoQ10</t>
        </is>
      </c>
      <c r="M6" s="2" t="inlineStr">
        <is>
          <t>Afternoon</t>
        </is>
      </c>
      <c r="N6" s="2" t="inlineStr">
        <is>
          <t>Take with food</t>
        </is>
      </c>
      <c r="O6" s="2" t="inlineStr">
        <is>
          <t>Both</t>
        </is>
      </c>
      <c r="P6" s="2" t="inlineStr">
        <is>
          <t>Tier 6</t>
        </is>
      </c>
      <c r="Q6" s="2" t="inlineStr">
        <is>
          <t>None</t>
        </is>
      </c>
      <c r="R6" s="3" t="inlineStr">
        <is>
          <t>HAVE</t>
        </is>
      </c>
    </row>
    <row r="7">
      <c r="A7" s="2" t="inlineStr">
        <is>
          <t>KAL enXtra+Rhodiola+Cordyceps</t>
        </is>
      </c>
      <c r="B7" s="2" t="inlineStr">
        <is>
          <t>Rhodiola 100mg, Cordyceps, Galangal</t>
        </is>
      </c>
      <c r="C7" s="2" t="inlineStr">
        <is>
          <t>1 cap</t>
        </is>
      </c>
      <c r="D7" s="2" t="n">
        <v>1</v>
      </c>
      <c r="E7" s="2" t="n">
        <v>30</v>
      </c>
      <c r="F7" s="2">
        <f>IF(D7&gt;0,E7/D7,0)</f>
        <v/>
      </c>
      <c r="G7" s="2" t="n">
        <v>16</v>
      </c>
      <c r="H7" s="2">
        <f>IF(E7&gt;0,G7/30*D7,G7/30*D7)</f>
        <v/>
      </c>
      <c r="I7" s="2" t="inlineStr">
        <is>
          <t>KAL</t>
        </is>
      </c>
      <c r="J7" s="2" t="inlineStr">
        <is>
          <t>Adaptogen, energy, cessation support</t>
        </is>
      </c>
      <c r="K7" s="2" t="inlineStr">
        <is>
          <t>None significant</t>
        </is>
      </c>
      <c r="L7" s="2" t="inlineStr">
        <is>
          <t>Morning routine</t>
        </is>
      </c>
      <c r="M7" s="2" t="inlineStr">
        <is>
          <t>Morning only</t>
        </is>
      </c>
      <c r="N7" s="2" t="inlineStr">
        <is>
          <t>Empty stomach preferred</t>
        </is>
      </c>
      <c r="O7" s="2" t="inlineStr">
        <is>
          <t>Water</t>
        </is>
      </c>
      <c r="P7" s="2" t="inlineStr">
        <is>
          <t>Tier 2</t>
        </is>
      </c>
      <c r="Q7" s="2" t="inlineStr">
        <is>
          <t>5 weeks on, 1 week off</t>
        </is>
      </c>
      <c r="R7" s="3" t="inlineStr">
        <is>
          <t>HAVE</t>
        </is>
      </c>
    </row>
    <row r="8">
      <c r="A8" s="2" t="inlineStr">
        <is>
          <t>Harmons CoQ10</t>
        </is>
      </c>
      <c r="B8" s="2" t="inlineStr">
        <is>
          <t>Coenzyme Q10</t>
        </is>
      </c>
      <c r="C8" s="2" t="inlineStr">
        <is>
          <t>200mg</t>
        </is>
      </c>
      <c r="D8" s="2" t="n">
        <v>1</v>
      </c>
      <c r="E8" s="2" t="n">
        <v>30</v>
      </c>
      <c r="F8" s="2">
        <f>IF(D8&gt;0,E8/D8,0)</f>
        <v/>
      </c>
      <c r="G8" s="2" t="n">
        <v>20</v>
      </c>
      <c r="H8" s="2">
        <f>IF(E8&gt;0,G8/30*D8,G8/30*D8)</f>
        <v/>
      </c>
      <c r="I8" s="2" t="inlineStr">
        <is>
          <t>Harmons</t>
        </is>
      </c>
      <c r="J8" s="2" t="inlineStr">
        <is>
          <t>Energy, mitochondrial, fatigue</t>
        </is>
      </c>
      <c r="K8" s="2" t="inlineStr">
        <is>
          <t>Statins reduce CoQ10</t>
        </is>
      </c>
      <c r="L8" s="2" t="inlineStr">
        <is>
          <t>R-ALA, ALCAR</t>
        </is>
      </c>
      <c r="M8" s="2" t="inlineStr">
        <is>
          <t>PRN (if fatigue)</t>
        </is>
      </c>
      <c r="N8" s="2" t="inlineStr">
        <is>
          <t>Take with fat</t>
        </is>
      </c>
      <c r="O8" s="2" t="inlineStr">
        <is>
          <t>Oil</t>
        </is>
      </c>
      <c r="P8" s="2" t="inlineStr">
        <is>
          <t>Tier 6</t>
        </is>
      </c>
      <c r="Q8" s="2" t="inlineStr">
        <is>
          <t>PRN only</t>
        </is>
      </c>
      <c r="R8" s="3" t="inlineStr">
        <is>
          <t>HAVE</t>
        </is>
      </c>
    </row>
    <row r="9">
      <c r="A9" s="2" t="inlineStr">
        <is>
          <t>Harmons Evening Primrose Oil</t>
        </is>
      </c>
      <c r="B9" s="2" t="inlineStr">
        <is>
          <t>GLA (Gamma-Linolenic Acid)</t>
        </is>
      </c>
      <c r="C9" s="2" t="inlineStr">
        <is>
          <t>1000mg</t>
        </is>
      </c>
      <c r="D9" s="2" t="n">
        <v>1</v>
      </c>
      <c r="E9" s="2" t="n">
        <v>60</v>
      </c>
      <c r="F9" s="2">
        <f>IF(D9&gt;0,E9/D9,0)</f>
        <v/>
      </c>
      <c r="G9" s="2" t="n">
        <v>10</v>
      </c>
      <c r="H9" s="2">
        <f>IF(E9&gt;0,G9/30*D9,G9/30*D9)</f>
        <v/>
      </c>
      <c r="I9" s="2" t="inlineStr">
        <is>
          <t>Harmons</t>
        </is>
      </c>
      <c r="J9" s="2" t="inlineStr">
        <is>
          <t>Skin, hormonal balance</t>
        </is>
      </c>
      <c r="K9" s="2" t="inlineStr">
        <is>
          <t>Blood thinners</t>
        </is>
      </c>
      <c r="L9" s="2" t="inlineStr">
        <is>
          <t>Omega-3</t>
        </is>
      </c>
      <c r="M9" s="2" t="inlineStr">
        <is>
          <t>With food</t>
        </is>
      </c>
      <c r="N9" s="2" t="inlineStr">
        <is>
          <t>Take with fat</t>
        </is>
      </c>
      <c r="O9" s="2" t="inlineStr">
        <is>
          <t>Oil</t>
        </is>
      </c>
      <c r="P9" s="2" t="inlineStr">
        <is>
          <t>Optional</t>
        </is>
      </c>
      <c r="Q9" s="2" t="inlineStr">
        <is>
          <t>None</t>
        </is>
      </c>
      <c r="R9" s="3" t="inlineStr">
        <is>
          <t>HAVE</t>
        </is>
      </c>
    </row>
    <row r="10">
      <c r="A10" s="2" t="inlineStr">
        <is>
          <t>KAL Thyroid Support</t>
        </is>
      </c>
      <c r="B10" s="2" t="inlineStr">
        <is>
          <t>Kelp, Eleuthero blend</t>
        </is>
      </c>
      <c r="C10" s="2" t="inlineStr">
        <is>
          <t>1 cap</t>
        </is>
      </c>
      <c r="D10" s="2" t="n">
        <v>1</v>
      </c>
      <c r="E10" s="2" t="n">
        <v>30</v>
      </c>
      <c r="F10" s="2">
        <f>IF(D10&gt;0,E10/D10,0)</f>
        <v/>
      </c>
      <c r="G10" s="2" t="n">
        <v>12</v>
      </c>
      <c r="H10" s="2">
        <f>IF(E10&gt;0,G10/30*D10,G10/30*D10)</f>
        <v/>
      </c>
      <c r="I10" s="2" t="inlineStr">
        <is>
          <t>KAL</t>
        </is>
      </c>
      <c r="J10" s="2" t="inlineStr">
        <is>
          <t>Thyroid function, energy</t>
        </is>
      </c>
      <c r="K10" s="2" t="inlineStr">
        <is>
          <t>Thyroid medications</t>
        </is>
      </c>
      <c r="L10" s="2" t="inlineStr">
        <is>
          <t>None specific</t>
        </is>
      </c>
      <c r="M10" s="2" t="inlineStr">
        <is>
          <t>Morning</t>
        </is>
      </c>
      <c r="N10" s="2" t="inlineStr">
        <is>
          <t>With food</t>
        </is>
      </c>
      <c r="O10" s="2" t="inlineStr">
        <is>
          <t>Water</t>
        </is>
      </c>
      <c r="P10" s="2" t="inlineStr">
        <is>
          <t>Optional</t>
        </is>
      </c>
      <c r="Q10" s="2" t="inlineStr">
        <is>
          <t>None</t>
        </is>
      </c>
      <c r="R10" s="3" t="inlineStr">
        <is>
          <t>HAVE</t>
        </is>
      </c>
    </row>
    <row r="11">
      <c r="A11" s="2" t="inlineStr">
        <is>
          <t>D3 + K2 5000 IU</t>
        </is>
      </c>
      <c r="B11" s="2" t="inlineStr">
        <is>
          <t>Vitamin D3 5000 IU + K2 120mcg</t>
        </is>
      </c>
      <c r="C11" s="2" t="inlineStr">
        <is>
          <t>1 cap</t>
        </is>
      </c>
      <c r="D11" s="2" t="n">
        <v>1</v>
      </c>
      <c r="E11" s="2" t="n">
        <v>0</v>
      </c>
      <c r="F11" s="2">
        <f>IF(D11&gt;0,E11/D11,0)</f>
        <v/>
      </c>
      <c r="G11" s="2" t="n">
        <v>12</v>
      </c>
      <c r="H11" s="2">
        <f>IF(E11&gt;0,G11/30*D11,G11/30*D11)</f>
        <v/>
      </c>
      <c r="I11" s="2" t="inlineStr">
        <is>
          <t>TBD</t>
        </is>
      </c>
      <c r="J11" s="2" t="inlineStr">
        <is>
          <t>Bone health, immune, calcium regulation</t>
        </is>
      </c>
      <c r="K11" s="2" t="inlineStr">
        <is>
          <t>None significant</t>
        </is>
      </c>
      <c r="L11" s="2" t="inlineStr">
        <is>
          <t>Omega-3, Magnesium</t>
        </is>
      </c>
      <c r="M11" s="2" t="inlineStr">
        <is>
          <t>Morning with fat</t>
        </is>
      </c>
      <c r="N11" s="2" t="inlineStr">
        <is>
          <t>Fat-soluble, take with meal</t>
        </is>
      </c>
      <c r="O11" s="2" t="inlineStr">
        <is>
          <t>Oil</t>
        </is>
      </c>
      <c r="P11" s="2" t="inlineStr">
        <is>
          <t>Tier 1</t>
        </is>
      </c>
      <c r="Q11" s="2" t="inlineStr">
        <is>
          <t>Continuous</t>
        </is>
      </c>
      <c r="R11" s="4" t="inlineStr">
        <is>
          <t>ADD</t>
        </is>
      </c>
    </row>
    <row r="12">
      <c r="A12" s="2" t="inlineStr">
        <is>
          <t>Omega-3 EPA/DHA</t>
        </is>
      </c>
      <c r="B12" s="2" t="inlineStr">
        <is>
          <t>EPA ~1.5g + DHA ~1g</t>
        </is>
      </c>
      <c r="C12" s="2" t="inlineStr">
        <is>
          <t>2-3g total</t>
        </is>
      </c>
      <c r="D12" s="2" t="n">
        <v>2</v>
      </c>
      <c r="E12" s="2" t="n">
        <v>0</v>
      </c>
      <c r="F12" s="2">
        <f>IF(D12&gt;0,E12/D12,0)</f>
        <v/>
      </c>
      <c r="G12" s="2" t="n">
        <v>20</v>
      </c>
      <c r="H12" s="2">
        <f>IF(E12&gt;0,G12/30*D12,G12/30*D12)</f>
        <v/>
      </c>
      <c r="I12" s="2" t="inlineStr">
        <is>
          <t>TBD</t>
        </is>
      </c>
      <c r="J12" s="2" t="inlineStr">
        <is>
          <t>APOE E3/E4, IL-6 inflammation, brain</t>
        </is>
      </c>
      <c r="K12" s="2" t="inlineStr">
        <is>
          <t>Blood thinners</t>
        </is>
      </c>
      <c r="L12" s="2" t="inlineStr">
        <is>
          <t>Vitamin E, D3</t>
        </is>
      </c>
      <c r="M12" s="2" t="inlineStr">
        <is>
          <t>Lunch + Dinner</t>
        </is>
      </c>
      <c r="N12" s="2" t="inlineStr">
        <is>
          <t>Take with fat-containing meal</t>
        </is>
      </c>
      <c r="O12" s="2" t="inlineStr">
        <is>
          <t>Oil</t>
        </is>
      </c>
      <c r="P12" s="2" t="inlineStr">
        <is>
          <t>Tier 1</t>
        </is>
      </c>
      <c r="Q12" s="2" t="inlineStr">
        <is>
          <t>Continuous</t>
        </is>
      </c>
      <c r="R12" s="4" t="inlineStr">
        <is>
          <t>ADD</t>
        </is>
      </c>
    </row>
    <row r="13">
      <c r="A13" s="2" t="inlineStr">
        <is>
          <t>Vitamin E 800 IU</t>
        </is>
      </c>
      <c r="B13" s="2" t="inlineStr">
        <is>
          <t>Mixed Tocopherols</t>
        </is>
      </c>
      <c r="C13" s="2" t="inlineStr">
        <is>
          <t>800 IU</t>
        </is>
      </c>
      <c r="D13" s="2" t="n">
        <v>1</v>
      </c>
      <c r="E13" s="2" t="n">
        <v>0</v>
      </c>
      <c r="F13" s="2">
        <f>IF(D13&gt;0,E13/D13,0)</f>
        <v/>
      </c>
      <c r="G13" s="2" t="n">
        <v>15</v>
      </c>
      <c r="H13" s="2">
        <f>IF(E13&gt;0,G13/30*D13,G13/30*D13)</f>
        <v/>
      </c>
      <c r="I13" s="2" t="inlineStr">
        <is>
          <t>TBD</t>
        </is>
      </c>
      <c r="J13" s="2" t="inlineStr">
        <is>
          <t>NAFLD 98th %ile protection (CRITICAL)</t>
        </is>
      </c>
      <c r="K13" s="2" t="inlineStr">
        <is>
          <t>Blood thinners at high dose</t>
        </is>
      </c>
      <c r="L13" s="2" t="inlineStr">
        <is>
          <t>Omega-3, Vitamin C</t>
        </is>
      </c>
      <c r="M13" s="2" t="inlineStr">
        <is>
          <t>Lunch with fat</t>
        </is>
      </c>
      <c r="N13" s="2" t="inlineStr">
        <is>
          <t>Fat-soluble</t>
        </is>
      </c>
      <c r="O13" s="2" t="inlineStr">
        <is>
          <t>Oil</t>
        </is>
      </c>
      <c r="P13" s="2" t="inlineStr">
        <is>
          <t>Tier 1</t>
        </is>
      </c>
      <c r="Q13" s="2" t="inlineStr">
        <is>
          <t>Continuous</t>
        </is>
      </c>
      <c r="R13" s="4" t="inlineStr">
        <is>
          <t>ADD</t>
        </is>
      </c>
    </row>
    <row r="14">
      <c r="A14" s="2" t="inlineStr">
        <is>
          <t>Alpha-GPC</t>
        </is>
      </c>
      <c r="B14" s="2" t="inlineStr">
        <is>
          <t>Alpha-GPC/Choline</t>
        </is>
      </c>
      <c r="C14" s="2" t="inlineStr">
        <is>
          <t>300mg</t>
        </is>
      </c>
      <c r="D14" s="2" t="n">
        <v>1</v>
      </c>
      <c r="E14" s="2" t="n">
        <v>0</v>
      </c>
      <c r="F14" s="2">
        <f>IF(D14&gt;0,E14/D14,0)</f>
        <v/>
      </c>
      <c r="G14" s="2" t="n">
        <v>15</v>
      </c>
      <c r="H14" s="2">
        <f>IF(E14&gt;0,G14/30*D14,G14/30*D14)</f>
        <v/>
      </c>
      <c r="I14" s="2" t="inlineStr">
        <is>
          <t>TBD</t>
        </is>
      </c>
      <c r="J14" s="2" t="inlineStr">
        <is>
          <t>NAFLD protection, cognitive, acetylcholine</t>
        </is>
      </c>
      <c r="K14" s="2" t="inlineStr">
        <is>
          <t>None significant</t>
        </is>
      </c>
      <c r="L14" s="2" t="inlineStr">
        <is>
          <t>Cognitive stack</t>
        </is>
      </c>
      <c r="M14" s="2" t="inlineStr">
        <is>
          <t>Morning</t>
        </is>
      </c>
      <c r="N14" s="2" t="inlineStr">
        <is>
          <t>Good bioavailability</t>
        </is>
      </c>
      <c r="O14" s="2" t="inlineStr">
        <is>
          <t>Water</t>
        </is>
      </c>
      <c r="P14" s="2" t="inlineStr">
        <is>
          <t>Tier 1</t>
        </is>
      </c>
      <c r="Q14" s="2" t="inlineStr">
        <is>
          <t>Continuous</t>
        </is>
      </c>
      <c r="R14" s="4" t="inlineStr">
        <is>
          <t>ADD</t>
        </is>
      </c>
    </row>
    <row r="15">
      <c r="A15" s="2" t="inlineStr">
        <is>
          <t>Methylfolate</t>
        </is>
      </c>
      <c r="B15" s="2" t="inlineStr">
        <is>
          <t>L-Methylfolate (5-MTHF)</t>
        </is>
      </c>
      <c r="C15" s="2" t="inlineStr">
        <is>
          <t>800mcg</t>
        </is>
      </c>
      <c r="D15" s="2" t="n">
        <v>1</v>
      </c>
      <c r="E15" s="2" t="n">
        <v>0</v>
      </c>
      <c r="F15" s="2">
        <f>IF(D15&gt;0,E15/D15,0)</f>
        <v/>
      </c>
      <c r="G15" s="2" t="n">
        <v>12</v>
      </c>
      <c r="H15" s="2">
        <f>IF(E15&gt;0,G15/30*D15,G15/30*D15)</f>
        <v/>
      </c>
      <c r="I15" s="2" t="inlineStr">
        <is>
          <t>TBD</t>
        </is>
      </c>
      <c r="J15" s="2" t="inlineStr">
        <is>
          <t>MTHFR A1298C support, methylation</t>
        </is>
      </c>
      <c r="K15" s="2" t="inlineStr">
        <is>
          <t>None significant</t>
        </is>
      </c>
      <c r="L15" s="2" t="inlineStr">
        <is>
          <t>B12, B6 (low dose)</t>
        </is>
      </c>
      <c r="M15" s="2" t="inlineStr">
        <is>
          <t>Morning</t>
        </is>
      </c>
      <c r="N15" s="2" t="inlineStr">
        <is>
          <t>Active form, no conversion needed</t>
        </is>
      </c>
      <c r="O15" s="2" t="inlineStr">
        <is>
          <t>Water</t>
        </is>
      </c>
      <c r="P15" s="2" t="inlineStr">
        <is>
          <t>Tier 1</t>
        </is>
      </c>
      <c r="Q15" s="2" t="inlineStr">
        <is>
          <t>Continuous</t>
        </is>
      </c>
      <c r="R15" s="4" t="inlineStr">
        <is>
          <t>ADD</t>
        </is>
      </c>
    </row>
    <row r="16">
      <c r="A16" s="2" t="inlineStr">
        <is>
          <t>B12 Sublingual</t>
        </is>
      </c>
      <c r="B16" s="2" t="inlineStr">
        <is>
          <t>Methylcobalamin</t>
        </is>
      </c>
      <c r="C16" s="2" t="inlineStr">
        <is>
          <t>1000mcg</t>
        </is>
      </c>
      <c r="D16" s="2" t="n">
        <v>1</v>
      </c>
      <c r="E16" s="2" t="n">
        <v>0</v>
      </c>
      <c r="F16" s="2">
        <f>IF(D16&gt;0,E16/D16,0)</f>
        <v/>
      </c>
      <c r="G16" s="2" t="n">
        <v>8</v>
      </c>
      <c r="H16" s="2">
        <f>IF(E16&gt;0,G16/30*D16,G16/30*D16)</f>
        <v/>
      </c>
      <c r="I16" s="2" t="inlineStr">
        <is>
          <t>TBD</t>
        </is>
      </c>
      <c r="J16" s="2" t="inlineStr">
        <is>
          <t>MTRR support, energy, nerve health</t>
        </is>
      </c>
      <c r="K16" s="2" t="inlineStr">
        <is>
          <t>None significant</t>
        </is>
      </c>
      <c r="L16" s="2" t="inlineStr">
        <is>
          <t>Folate</t>
        </is>
      </c>
      <c r="M16" s="2" t="inlineStr">
        <is>
          <t>Morning (sublingual)</t>
        </is>
      </c>
      <c r="N16" s="2" t="inlineStr">
        <is>
          <t>Sublingual bypasses digestion</t>
        </is>
      </c>
      <c r="O16" s="2" t="inlineStr">
        <is>
          <t>Water</t>
        </is>
      </c>
      <c r="P16" s="2" t="inlineStr">
        <is>
          <t>Tier 1</t>
        </is>
      </c>
      <c r="Q16" s="2" t="inlineStr">
        <is>
          <t>Continuous</t>
        </is>
      </c>
      <c r="R16" s="4" t="inlineStr">
        <is>
          <t>ADD</t>
        </is>
      </c>
    </row>
    <row r="17">
      <c r="A17" s="2" t="inlineStr">
        <is>
          <t>Selenium</t>
        </is>
      </c>
      <c r="B17" s="2" t="inlineStr">
        <is>
          <t>Selenium (Selenomethionine)</t>
        </is>
      </c>
      <c r="C17" s="2" t="inlineStr">
        <is>
          <t>200mcg</t>
        </is>
      </c>
      <c r="D17" s="2" t="n">
        <v>1</v>
      </c>
      <c r="E17" s="2" t="n">
        <v>0</v>
      </c>
      <c r="F17" s="2">
        <f>IF(D17&gt;0,E17/D17,0)</f>
        <v/>
      </c>
      <c r="G17" s="2" t="n">
        <v>6</v>
      </c>
      <c r="H17" s="2">
        <f>IF(E17&gt;0,G17/30*D17,G17/30*D17)</f>
        <v/>
      </c>
      <c r="I17" s="2" t="inlineStr">
        <is>
          <t>TBD</t>
        </is>
      </c>
      <c r="J17" s="2" t="inlineStr">
        <is>
          <t>GPX1 variant, thyroid, antioxidant</t>
        </is>
      </c>
      <c r="K17" s="2" t="inlineStr">
        <is>
          <t>High dose toxic</t>
        </is>
      </c>
      <c r="L17" s="2" t="inlineStr">
        <is>
          <t>Vitamin E, NAC</t>
        </is>
      </c>
      <c r="M17" s="2" t="inlineStr">
        <is>
          <t>With food (split if 2x)</t>
        </is>
      </c>
      <c r="N17" s="2" t="inlineStr">
        <is>
          <t>Organic form best absorbed</t>
        </is>
      </c>
      <c r="O17" s="2" t="inlineStr">
        <is>
          <t>Water</t>
        </is>
      </c>
      <c r="P17" s="2" t="inlineStr">
        <is>
          <t>Tier 1</t>
        </is>
      </c>
      <c r="Q17" s="2" t="inlineStr">
        <is>
          <t>Continuous</t>
        </is>
      </c>
      <c r="R17" s="4" t="inlineStr">
        <is>
          <t>ADD</t>
        </is>
      </c>
    </row>
    <row r="18">
      <c r="A18" s="2" t="inlineStr">
        <is>
          <t>Vitamin C 1000mg</t>
        </is>
      </c>
      <c r="B18" s="2" t="inlineStr">
        <is>
          <t>Ascorbic Acid</t>
        </is>
      </c>
      <c r="C18" s="2" t="inlineStr">
        <is>
          <t>500mg x 2</t>
        </is>
      </c>
      <c r="D18" s="2" t="n">
        <v>2</v>
      </c>
      <c r="E18" s="2" t="n">
        <v>0</v>
      </c>
      <c r="F18" s="2">
        <f>IF(D18&gt;0,E18/D18,0)</f>
        <v/>
      </c>
      <c r="G18" s="2" t="n">
        <v>8</v>
      </c>
      <c r="H18" s="2">
        <f>IF(E18&gt;0,G18/30*D18,G18/30*D18)</f>
        <v/>
      </c>
      <c r="I18" s="2" t="inlineStr">
        <is>
          <t>TBD</t>
        </is>
      </c>
      <c r="J18" s="2" t="inlineStr">
        <is>
          <t>Antioxidant, collagen, detox support</t>
        </is>
      </c>
      <c r="K18" s="2" t="inlineStr">
        <is>
          <t>Iron absorption increase</t>
        </is>
      </c>
      <c r="L18" s="2" t="inlineStr">
        <is>
          <t>Vitamin E, NAC</t>
        </is>
      </c>
      <c r="M18" s="2" t="inlineStr">
        <is>
          <t>Morning + 8:00 PM</t>
        </is>
      </c>
      <c r="N18" s="2" t="inlineStr">
        <is>
          <t>Split dosing for better levels</t>
        </is>
      </c>
      <c r="O18" s="2" t="inlineStr">
        <is>
          <t>Water</t>
        </is>
      </c>
      <c r="P18" s="2" t="inlineStr">
        <is>
          <t>Tier 1</t>
        </is>
      </c>
      <c r="Q18" s="2" t="inlineStr">
        <is>
          <t>Continuous</t>
        </is>
      </c>
      <c r="R18" s="4" t="inlineStr">
        <is>
          <t>ADD</t>
        </is>
      </c>
    </row>
    <row r="19">
      <c r="A19" s="2" t="inlineStr">
        <is>
          <t>Creatine Monohydrate</t>
        </is>
      </c>
      <c r="B19" s="2" t="inlineStr">
        <is>
          <t>Creatine Monohydrate</t>
        </is>
      </c>
      <c r="C19" s="2" t="inlineStr">
        <is>
          <t>5g powder</t>
        </is>
      </c>
      <c r="D19" s="2" t="n">
        <v>1</v>
      </c>
      <c r="E19" s="2" t="n">
        <v>0</v>
      </c>
      <c r="F19" s="2">
        <f>IF(D19&gt;0,E19/D19,0)</f>
        <v/>
      </c>
      <c r="G19" s="2" t="n">
        <v>8</v>
      </c>
      <c r="H19" s="2">
        <f>IF(E19&gt;0,G19/30*D19,G19/30*D19)</f>
        <v/>
      </c>
      <c r="I19" s="2" t="inlineStr">
        <is>
          <t>TBD</t>
        </is>
      </c>
      <c r="J19" s="2" t="inlineStr">
        <is>
          <t>Lean mass, strength, cognitive</t>
        </is>
      </c>
      <c r="K19" s="2" t="inlineStr">
        <is>
          <t>Kidney disease (high dose)</t>
        </is>
      </c>
      <c r="L19" s="2" t="inlineStr">
        <is>
          <t>Protein</t>
        </is>
      </c>
      <c r="M19" s="2" t="inlineStr">
        <is>
          <t>Any time (flexible)</t>
        </is>
      </c>
      <c r="N19" s="2" t="inlineStr">
        <is>
          <t>With water, no timing sensitivity</t>
        </is>
      </c>
      <c r="O19" s="2" t="inlineStr">
        <is>
          <t>Water</t>
        </is>
      </c>
      <c r="P19" s="2" t="inlineStr">
        <is>
          <t>Tier 1</t>
        </is>
      </c>
      <c r="Q19" s="2" t="inlineStr">
        <is>
          <t>Continuous</t>
        </is>
      </c>
      <c r="R19" s="4" t="inlineStr">
        <is>
          <t>ADD</t>
        </is>
      </c>
    </row>
    <row r="20">
      <c r="A20" s="2" t="inlineStr">
        <is>
          <t>Protein Powder</t>
        </is>
      </c>
      <c r="B20" s="2" t="inlineStr">
        <is>
          <t>Whey/Plant Protein</t>
        </is>
      </c>
      <c r="C20" s="2" t="inlineStr">
        <is>
          <t>50g</t>
        </is>
      </c>
      <c r="D20" s="2" t="n">
        <v>1</v>
      </c>
      <c r="E20" s="2" t="n">
        <v>0</v>
      </c>
      <c r="F20" s="2">
        <f>IF(D20&gt;0,E20/D20,0)</f>
        <v/>
      </c>
      <c r="G20" s="2" t="n">
        <v>30</v>
      </c>
      <c r="H20" s="2">
        <f>IF(E20&gt;0,G20/30*D20,G20/30*D20)</f>
        <v/>
      </c>
      <c r="I20" s="2" t="inlineStr">
        <is>
          <t>TBD</t>
        </is>
      </c>
      <c r="J20" s="2" t="inlineStr">
        <is>
          <t>Lean mass recovery, 215g daily target</t>
        </is>
      </c>
      <c r="K20" s="2" t="inlineStr">
        <is>
          <t>Lactose if whey</t>
        </is>
      </c>
      <c r="L20" s="2" t="inlineStr">
        <is>
          <t>Creatine</t>
        </is>
      </c>
      <c r="M20" s="2" t="inlineStr">
        <is>
          <t>Post-workout + meals</t>
        </is>
      </c>
      <c r="N20" s="2" t="inlineStr">
        <is>
          <t>Fast absorption post-workout</t>
        </is>
      </c>
      <c r="O20" s="2" t="inlineStr">
        <is>
          <t>Water</t>
        </is>
      </c>
      <c r="P20" s="2" t="inlineStr">
        <is>
          <t>Tier 1</t>
        </is>
      </c>
      <c r="Q20" s="2" t="inlineStr">
        <is>
          <t>Continuous</t>
        </is>
      </c>
      <c r="R20" s="4" t="inlineStr">
        <is>
          <t>ADD</t>
        </is>
      </c>
    </row>
    <row r="21">
      <c r="A21" s="2" t="inlineStr">
        <is>
          <t>Magnesium Glycinate</t>
        </is>
      </c>
      <c r="B21" s="2" t="inlineStr">
        <is>
          <t>Magnesium Glycinate</t>
        </is>
      </c>
      <c r="C21" s="2" t="inlineStr">
        <is>
          <t>300-400mg</t>
        </is>
      </c>
      <c r="D21" s="2" t="n">
        <v>2</v>
      </c>
      <c r="E21" s="2" t="n">
        <v>0</v>
      </c>
      <c r="F21" s="2">
        <f>IF(D21&gt;0,E21/D21,0)</f>
        <v/>
      </c>
      <c r="G21" s="2" t="n">
        <v>10</v>
      </c>
      <c r="H21" s="2">
        <f>IF(E21&gt;0,G21/30*D21,G21/30*D21)</f>
        <v/>
      </c>
      <c r="I21" s="2" t="inlineStr">
        <is>
          <t>TBD</t>
        </is>
      </c>
      <c r="J21" s="2" t="inlineStr">
        <is>
          <t>Sleep, HRV, COMT support</t>
        </is>
      </c>
      <c r="K21" s="2" t="inlineStr">
        <is>
          <t>None significant</t>
        </is>
      </c>
      <c r="L21" s="2" t="inlineStr">
        <is>
          <t>Glycine, Melatonin</t>
        </is>
      </c>
      <c r="M21" s="2" t="inlineStr">
        <is>
          <t>8:00 PM</t>
        </is>
      </c>
      <c r="N21" s="2" t="inlineStr">
        <is>
          <t>Glycinate form for sleep</t>
        </is>
      </c>
      <c r="O21" s="2" t="inlineStr">
        <is>
          <t>Water</t>
        </is>
      </c>
      <c r="P21" s="2" t="inlineStr">
        <is>
          <t>Tier 1</t>
        </is>
      </c>
      <c r="Q21" s="2" t="inlineStr">
        <is>
          <t>Continuous</t>
        </is>
      </c>
      <c r="R21" s="4" t="inlineStr">
        <is>
          <t>ADD</t>
        </is>
      </c>
    </row>
    <row r="22">
      <c r="A22" s="2" t="inlineStr">
        <is>
          <t>Melatonin 0.3mg</t>
        </is>
      </c>
      <c r="B22" s="2" t="inlineStr">
        <is>
          <t>Melatonin</t>
        </is>
      </c>
      <c r="C22" s="2" t="inlineStr">
        <is>
          <t>0.3mg</t>
        </is>
      </c>
      <c r="D22" s="2" t="n">
        <v>1</v>
      </c>
      <c r="E22" s="2" t="n">
        <v>0</v>
      </c>
      <c r="F22" s="2">
        <f>IF(D22&gt;0,E22/D22,0)</f>
        <v/>
      </c>
      <c r="G22" s="2" t="n">
        <v>8</v>
      </c>
      <c r="H22" s="2">
        <f>IF(E22&gt;0,G22/30*D22,G22/30*D22)</f>
        <v/>
      </c>
      <c r="I22" s="2" t="inlineStr">
        <is>
          <t>TBD</t>
        </is>
      </c>
      <c r="J22" s="2" t="inlineStr">
        <is>
          <t>ADHD chronobiotic, circadian reset (CRITICAL)</t>
        </is>
      </c>
      <c r="K22" s="2" t="inlineStr">
        <is>
          <t>&gt;0.5mg suppresses REM</t>
        </is>
      </c>
      <c r="L22" s="2" t="inlineStr">
        <is>
          <t>Mag Glycinate, Glycine</t>
        </is>
      </c>
      <c r="M22" s="2" t="inlineStr">
        <is>
          <t>8:30 PM SHARP</t>
        </is>
      </c>
      <c r="N22" s="2" t="inlineStr">
        <is>
          <t>Timing critical (3hrs before DLMO)</t>
        </is>
      </c>
      <c r="O22" s="2" t="inlineStr">
        <is>
          <t>Both</t>
        </is>
      </c>
      <c r="P22" s="2" t="inlineStr">
        <is>
          <t>Tier 2</t>
        </is>
      </c>
      <c r="Q22" s="2" t="inlineStr">
        <is>
          <t>Through Day 120+</t>
        </is>
      </c>
      <c r="R22" s="4" t="inlineStr">
        <is>
          <t>ADD</t>
        </is>
      </c>
    </row>
    <row r="23">
      <c r="A23" s="2" t="inlineStr">
        <is>
          <t>Glycine Powder</t>
        </is>
      </c>
      <c r="B23" s="2" t="inlineStr">
        <is>
          <t>Glycine</t>
        </is>
      </c>
      <c r="C23" s="2" t="inlineStr">
        <is>
          <t>3g</t>
        </is>
      </c>
      <c r="D23" s="2" t="n">
        <v>1</v>
      </c>
      <c r="E23" s="2" t="n">
        <v>0</v>
      </c>
      <c r="F23" s="2">
        <f>IF(D23&gt;0,E23/D23,0)</f>
        <v/>
      </c>
      <c r="G23" s="2" t="n">
        <v>12</v>
      </c>
      <c r="H23" s="2">
        <f>IF(E23&gt;0,G23/30*D23,G23/30*D23)</f>
        <v/>
      </c>
      <c r="I23" s="2" t="inlineStr">
        <is>
          <t>TBD</t>
        </is>
      </c>
      <c r="J23" s="2" t="inlineStr">
        <is>
          <t>Sleep support, no ASD paradox risk</t>
        </is>
      </c>
      <c r="K23" s="2" t="inlineStr">
        <is>
          <t>None significant</t>
        </is>
      </c>
      <c r="L23" s="2" t="inlineStr">
        <is>
          <t>Mag Glycinate, Taurine</t>
        </is>
      </c>
      <c r="M23" s="2" t="inlineStr">
        <is>
          <t>8:00 PM (Week 4+)</t>
        </is>
      </c>
      <c r="N23" s="2" t="inlineStr">
        <is>
          <t>Good absorption</t>
        </is>
      </c>
      <c r="O23" s="2" t="inlineStr">
        <is>
          <t>Water</t>
        </is>
      </c>
      <c r="P23" s="2" t="inlineStr">
        <is>
          <t>Tier 2</t>
        </is>
      </c>
      <c r="Q23" s="2" t="inlineStr">
        <is>
          <t>Week 4+ add</t>
        </is>
      </c>
      <c r="R23" s="4" t="inlineStr">
        <is>
          <t>ADD</t>
        </is>
      </c>
    </row>
    <row r="24">
      <c r="A24" s="2" t="inlineStr">
        <is>
          <t>Taurine</t>
        </is>
      </c>
      <c r="B24" s="2" t="inlineStr">
        <is>
          <t>Taurine</t>
        </is>
      </c>
      <c r="C24" s="2" t="inlineStr">
        <is>
          <t>500-1000mg</t>
        </is>
      </c>
      <c r="D24" s="2" t="n">
        <v>1</v>
      </c>
      <c r="E24" s="2" t="n">
        <v>0</v>
      </c>
      <c r="F24" s="2">
        <f>IF(D24&gt;0,E24/D24,0)</f>
        <v/>
      </c>
      <c r="G24" s="2" t="n">
        <v>8</v>
      </c>
      <c r="H24" s="2">
        <f>IF(E24&gt;0,G24/30*D24,G24/30*D24)</f>
        <v/>
      </c>
      <c r="I24" s="2" t="inlineStr">
        <is>
          <t>TBD</t>
        </is>
      </c>
      <c r="J24" s="2" t="inlineStr">
        <is>
          <t>Indirect GABA, safer sleep profile</t>
        </is>
      </c>
      <c r="K24" s="2" t="inlineStr">
        <is>
          <t>None significant</t>
        </is>
      </c>
      <c r="L24" s="2" t="inlineStr">
        <is>
          <t>Glycine, Magnesium</t>
        </is>
      </c>
      <c r="M24" s="2" t="inlineStr">
        <is>
          <t>Dinner (Week 4+)</t>
        </is>
      </c>
      <c r="N24" s="2" t="inlineStr">
        <is>
          <t>Good absorption with food</t>
        </is>
      </c>
      <c r="O24" s="2" t="inlineStr">
        <is>
          <t>Water</t>
        </is>
      </c>
      <c r="P24" s="2" t="inlineStr">
        <is>
          <t>Tier 2</t>
        </is>
      </c>
      <c r="Q24" s="2" t="inlineStr">
        <is>
          <t>Week 4+ add</t>
        </is>
      </c>
      <c r="R24" s="4" t="inlineStr">
        <is>
          <t>ADD</t>
        </is>
      </c>
    </row>
    <row r="25">
      <c r="A25" s="2" t="inlineStr">
        <is>
          <t>Vitamin B6 P-5-P 50mg</t>
        </is>
      </c>
      <c r="B25" s="2" t="inlineStr">
        <is>
          <t>Pyridoxal-5-Phosphate</t>
        </is>
      </c>
      <c r="C25" s="2" t="inlineStr">
        <is>
          <t>50mg</t>
        </is>
      </c>
      <c r="D25" s="2" t="n">
        <v>0</v>
      </c>
      <c r="E25" s="2" t="n">
        <v>0</v>
      </c>
      <c r="F25" s="2">
        <f>IF(D25&gt;0,E25/D25,0)</f>
        <v/>
      </c>
      <c r="G25" s="2" t="n">
        <v>0</v>
      </c>
      <c r="H25" s="2">
        <f>IF(E25&gt;0,G25/30*D25,G25/30*D25)</f>
        <v/>
      </c>
      <c r="I25" s="2" t="inlineStr">
        <is>
          <t>Unknown</t>
        </is>
      </c>
      <c r="J25" s="2" t="inlineStr">
        <is>
          <t>B6 toxicity history (102.9 μg/L - 2x limit)</t>
        </is>
      </c>
      <c r="K25" s="2" t="inlineStr">
        <is>
          <t>CONTRAINDICATED &gt;25mg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N/A</t>
        </is>
      </c>
      <c r="O25" s="2" t="inlineStr">
        <is>
          <t>Water</t>
        </is>
      </c>
      <c r="P25" s="2" t="inlineStr">
        <is>
          <t>BANNED</t>
        </is>
      </c>
      <c r="Q25" s="2" t="inlineStr">
        <is>
          <t>N/A</t>
        </is>
      </c>
      <c r="R25" s="5" t="inlineStr">
        <is>
          <t>REMOVE</t>
        </is>
      </c>
    </row>
    <row r="26">
      <c r="A26" s="2" t="inlineStr">
        <is>
          <t>NOW GABA 750mg</t>
        </is>
      </c>
      <c r="B26" s="2" t="inlineStr">
        <is>
          <t>GABA</t>
        </is>
      </c>
      <c r="C26" s="2" t="inlineStr">
        <is>
          <t>750mg</t>
        </is>
      </c>
      <c r="D26" s="2" t="n">
        <v>0</v>
      </c>
      <c r="E26" s="2" t="n">
        <v>0</v>
      </c>
      <c r="F26" s="2">
        <f>IF(D26&gt;0,E26/D26,0)</f>
        <v/>
      </c>
      <c r="G26" s="2" t="n">
        <v>0</v>
      </c>
      <c r="H26" s="2">
        <f>IF(E26&gt;0,G26/30*D26,G26/30*D26)</f>
        <v/>
      </c>
      <c r="I26" s="2" t="inlineStr">
        <is>
          <t>NOW Foods</t>
        </is>
      </c>
      <c r="J26" s="2" t="inlineStr">
        <is>
          <t>Direct GABA - ASD paradox risk (~50%)</t>
        </is>
      </c>
      <c r="K26" s="2" t="inlineStr">
        <is>
          <t>ASD CONTRAINDICATED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Water</t>
        </is>
      </c>
      <c r="P26" s="2" t="inlineStr">
        <is>
          <t>BANNED</t>
        </is>
      </c>
      <c r="Q26" s="2" t="inlineStr">
        <is>
          <t>N/A</t>
        </is>
      </c>
      <c r="R26" s="5" t="inlineStr">
        <is>
          <t>DO NOT USE</t>
        </is>
      </c>
    </row>
    <row r="27">
      <c r="A27" s="2" t="inlineStr">
        <is>
          <t>Nello Sleep Formula</t>
        </is>
      </c>
      <c r="B27" s="2" t="inlineStr">
        <is>
          <t>PharmaGABA blend</t>
        </is>
      </c>
      <c r="C27" s="2" t="inlineStr">
        <is>
          <t>1 cap</t>
        </is>
      </c>
      <c r="D27" s="2" t="n">
        <v>0</v>
      </c>
      <c r="E27" s="2" t="n">
        <v>0</v>
      </c>
      <c r="F27" s="2">
        <f>IF(D27&gt;0,E27/D27,0)</f>
        <v/>
      </c>
      <c r="G27" s="2" t="n">
        <v>0</v>
      </c>
      <c r="H27" s="2">
        <f>IF(E27&gt;0,G27/30*D27,G27/30*D27)</f>
        <v/>
      </c>
      <c r="I27" s="2" t="inlineStr">
        <is>
          <t>Nello</t>
        </is>
      </c>
      <c r="J27" s="2" t="inlineStr">
        <is>
          <t>Contains PharmaGABA - ASD paradox</t>
        </is>
      </c>
      <c r="K27" s="2" t="inlineStr">
        <is>
          <t>ASD CONTRAINDICATED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N/A</t>
        </is>
      </c>
      <c r="O27" s="2" t="inlineStr">
        <is>
          <t>Both</t>
        </is>
      </c>
      <c r="P27" s="2" t="inlineStr">
        <is>
          <t>BANNED</t>
        </is>
      </c>
      <c r="Q27" s="2" t="inlineStr">
        <is>
          <t>N/A</t>
        </is>
      </c>
      <c r="R27" s="5" t="inlineStr">
        <is>
          <t>DO NOT USE</t>
        </is>
      </c>
    </row>
    <row r="28">
      <c r="A28" s="2" t="inlineStr">
        <is>
          <t>LifeSeasons Inflamm-X</t>
        </is>
      </c>
      <c r="B28" s="2" t="inlineStr">
        <is>
          <t>Hops, Skullcap, herbs</t>
        </is>
      </c>
      <c r="C28" s="2" t="inlineStr">
        <is>
          <t>1 cap</t>
        </is>
      </c>
      <c r="D28" s="2" t="n">
        <v>0</v>
      </c>
      <c r="E28" s="2" t="n">
        <v>0</v>
      </c>
      <c r="F28" s="2">
        <f>IF(D28&gt;0,E28/D28,0)</f>
        <v/>
      </c>
      <c r="G28" s="2" t="n">
        <v>0</v>
      </c>
      <c r="H28" s="2">
        <f>IF(E28&gt;0,G28/30*D28,G28/30*D28)</f>
        <v/>
      </c>
      <c r="I28" s="2" t="inlineStr">
        <is>
          <t>LifeSeasons</t>
        </is>
      </c>
      <c r="J28" s="2" t="inlineStr">
        <is>
          <t>Contains GABAergic herbs</t>
        </is>
      </c>
      <c r="K28" s="2" t="inlineStr">
        <is>
          <t>ASD CONTRAINDICATED (Hops, Skullcap)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Both</t>
        </is>
      </c>
      <c r="P28" s="2" t="inlineStr">
        <is>
          <t>BANNED</t>
        </is>
      </c>
      <c r="Q28" s="2" t="inlineStr">
        <is>
          <t>N/A</t>
        </is>
      </c>
      <c r="R28" s="5" t="inlineStr">
        <is>
          <t>DO NOT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40" customWidth="1" min="4" max="4"/>
    <col width="12" customWidth="1" min="5" max="5"/>
    <col width="12" customWidth="1" min="6" max="6"/>
  </cols>
  <sheetData>
    <row r="1">
      <c r="A1" s="6" t="inlineStr">
        <is>
          <t>Priority</t>
        </is>
      </c>
      <c r="B1" s="6" t="inlineStr">
        <is>
          <t>Product</t>
        </is>
      </c>
      <c r="C1" s="6" t="inlineStr">
        <is>
          <t>Dosage</t>
        </is>
      </c>
      <c r="D1" s="6" t="inlineStr">
        <is>
          <t>Reason</t>
        </is>
      </c>
      <c r="E1" s="6" t="inlineStr">
        <is>
          <t>Est. Cost ($)</t>
        </is>
      </c>
      <c r="F1" s="6" t="inlineStr">
        <is>
          <t>Status</t>
        </is>
      </c>
    </row>
    <row r="2">
      <c r="A2" s="7" t="inlineStr">
        <is>
          <t>CRITICAL</t>
        </is>
      </c>
      <c r="B2" s="8" t="inlineStr">
        <is>
          <t>Melatonin 0.3mg</t>
        </is>
      </c>
      <c r="C2" s="8" t="inlineStr">
        <is>
          <t>0.3mg</t>
        </is>
      </c>
      <c r="D2" s="8" t="inlineStr">
        <is>
          <t>ADHD chronobiotic @ 8:30 PM</t>
        </is>
      </c>
      <c r="E2" s="8" t="n">
        <v>8</v>
      </c>
      <c r="F2" s="8" t="inlineStr">
        <is>
          <t>Buy Now</t>
        </is>
      </c>
    </row>
    <row r="3">
      <c r="A3" s="7" t="inlineStr">
        <is>
          <t>CRITICAL</t>
        </is>
      </c>
      <c r="B3" s="8" t="inlineStr">
        <is>
          <t>D3/K2 5000 IU</t>
        </is>
      </c>
      <c r="C3" s="8" t="inlineStr">
        <is>
          <t>1 cap</t>
        </is>
      </c>
      <c r="D3" s="8" t="inlineStr">
        <is>
          <t>Genetic need, foundation</t>
        </is>
      </c>
      <c r="E3" s="8" t="n">
        <v>12</v>
      </c>
      <c r="F3" s="8" t="inlineStr">
        <is>
          <t>Buy Now</t>
        </is>
      </c>
    </row>
    <row r="4">
      <c r="A4" s="7" t="inlineStr">
        <is>
          <t>CRITICAL</t>
        </is>
      </c>
      <c r="B4" s="8" t="inlineStr">
        <is>
          <t>Omega-3 2-3g EPA/DHA</t>
        </is>
      </c>
      <c r="C4" s="8" t="inlineStr">
        <is>
          <t>2-3g</t>
        </is>
      </c>
      <c r="D4" s="8" t="inlineStr">
        <is>
          <t>APOE E3/E4, IL-6 - missing</t>
        </is>
      </c>
      <c r="E4" s="8" t="n">
        <v>20</v>
      </c>
      <c r="F4" s="8" t="inlineStr">
        <is>
          <t>Buy Now</t>
        </is>
      </c>
    </row>
    <row r="5">
      <c r="A5" s="7" t="inlineStr">
        <is>
          <t>CRITICAL</t>
        </is>
      </c>
      <c r="B5" s="8" t="inlineStr">
        <is>
          <t>Vitamin E 800 IU</t>
        </is>
      </c>
      <c r="C5" s="8" t="inlineStr">
        <is>
          <t>800 IU</t>
        </is>
      </c>
      <c r="D5" s="8" t="inlineStr">
        <is>
          <t>NAFLD 98th percentile</t>
        </is>
      </c>
      <c r="E5" s="8" t="n">
        <v>15</v>
      </c>
      <c r="F5" s="8" t="inlineStr">
        <is>
          <t>Buy Now</t>
        </is>
      </c>
    </row>
    <row r="6">
      <c r="A6" s="9" t="inlineStr">
        <is>
          <t>HIGH</t>
        </is>
      </c>
      <c r="B6" s="8" t="inlineStr">
        <is>
          <t>Methylfolate 800mcg</t>
        </is>
      </c>
      <c r="C6" s="8" t="inlineStr">
        <is>
          <t>800mcg</t>
        </is>
      </c>
      <c r="D6" s="8" t="inlineStr">
        <is>
          <t>MTHFR A1298C support</t>
        </is>
      </c>
      <c r="E6" s="8" t="n">
        <v>12</v>
      </c>
      <c r="F6" s="8" t="inlineStr">
        <is>
          <t>Pending</t>
        </is>
      </c>
    </row>
    <row r="7">
      <c r="A7" s="9" t="inlineStr">
        <is>
          <t>HIGH</t>
        </is>
      </c>
      <c r="B7" s="8" t="inlineStr">
        <is>
          <t>B12 1000mcg sublingual</t>
        </is>
      </c>
      <c r="C7" s="8" t="inlineStr">
        <is>
          <t>1000mcg</t>
        </is>
      </c>
      <c r="D7" s="8" t="inlineStr">
        <is>
          <t>MTRR support</t>
        </is>
      </c>
      <c r="E7" s="8" t="n">
        <v>8</v>
      </c>
      <c r="F7" s="8" t="inlineStr">
        <is>
          <t>Pending</t>
        </is>
      </c>
    </row>
    <row r="8">
      <c r="A8" s="9" t="inlineStr">
        <is>
          <t>HIGH</t>
        </is>
      </c>
      <c r="B8" s="8" t="inlineStr">
        <is>
          <t>Selenium 200mcg</t>
        </is>
      </c>
      <c r="C8" s="8" t="inlineStr">
        <is>
          <t>200mcg</t>
        </is>
      </c>
      <c r="D8" s="8" t="inlineStr">
        <is>
          <t>GPX1 variant</t>
        </is>
      </c>
      <c r="E8" s="8" t="n">
        <v>6</v>
      </c>
      <c r="F8" s="8" t="inlineStr">
        <is>
          <t>Pending</t>
        </is>
      </c>
    </row>
    <row r="9">
      <c r="A9" s="9" t="inlineStr">
        <is>
          <t>HIGH</t>
        </is>
      </c>
      <c r="B9" s="8" t="inlineStr">
        <is>
          <t>Vitamin C 1000mg</t>
        </is>
      </c>
      <c r="C9" s="8" t="inlineStr">
        <is>
          <t>1000mg</t>
        </is>
      </c>
      <c r="D9" s="8" t="inlineStr">
        <is>
          <t>Split AM/PM</t>
        </is>
      </c>
      <c r="E9" s="8" t="n">
        <v>8</v>
      </c>
      <c r="F9" s="8" t="inlineStr">
        <is>
          <t>Pending</t>
        </is>
      </c>
    </row>
    <row r="10">
      <c r="A10" s="9" t="inlineStr">
        <is>
          <t>HIGH</t>
        </is>
      </c>
      <c r="B10" s="8" t="inlineStr">
        <is>
          <t>Creatine 5g</t>
        </is>
      </c>
      <c r="C10" s="8" t="inlineStr">
        <is>
          <t>5g</t>
        </is>
      </c>
      <c r="D10" s="8" t="inlineStr">
        <is>
          <t>Lean mass support</t>
        </is>
      </c>
      <c r="E10" s="8" t="n">
        <v>8</v>
      </c>
      <c r="F10" s="8" t="inlineStr">
        <is>
          <t>Pending</t>
        </is>
      </c>
    </row>
    <row r="11">
      <c r="A11" s="9" t="inlineStr">
        <is>
          <t>HIGH</t>
        </is>
      </c>
      <c r="B11" s="8" t="inlineStr">
        <is>
          <t>Protein Powder</t>
        </is>
      </c>
      <c r="C11" s="8" t="inlineStr">
        <is>
          <t>50g/day</t>
        </is>
      </c>
      <c r="D11" s="8" t="inlineStr">
        <is>
          <t>215g daily target</t>
        </is>
      </c>
      <c r="E11" s="8" t="n">
        <v>30</v>
      </c>
      <c r="F11" s="8" t="inlineStr">
        <is>
          <t>Pending</t>
        </is>
      </c>
    </row>
    <row r="12">
      <c r="A12" s="9" t="inlineStr">
        <is>
          <t>HIGH</t>
        </is>
      </c>
      <c r="B12" s="8" t="inlineStr">
        <is>
          <t>Magnesium Glycinate</t>
        </is>
      </c>
      <c r="C12" s="8" t="inlineStr">
        <is>
          <t>300-400mg</t>
        </is>
      </c>
      <c r="D12" s="8" t="inlineStr">
        <is>
          <t>Sleep/COMT (different from Magtein)</t>
        </is>
      </c>
      <c r="E12" s="8" t="n">
        <v>10</v>
      </c>
      <c r="F12" s="8" t="inlineStr">
        <is>
          <t>Pending</t>
        </is>
      </c>
    </row>
    <row r="13">
      <c r="A13" s="9" t="inlineStr">
        <is>
          <t>HIGH</t>
        </is>
      </c>
      <c r="B13" s="8" t="inlineStr">
        <is>
          <t>Alpha-GPC 300mg</t>
        </is>
      </c>
      <c r="C13" s="8" t="inlineStr">
        <is>
          <t>300mg</t>
        </is>
      </c>
      <c r="D13" s="8" t="inlineStr">
        <is>
          <t>NAFLD + cognitive</t>
        </is>
      </c>
      <c r="E13" s="8" t="n">
        <v>15</v>
      </c>
      <c r="F13" s="8" t="inlineStr">
        <is>
          <t>Pending</t>
        </is>
      </c>
    </row>
    <row r="14">
      <c r="A14" s="10" t="inlineStr">
        <is>
          <t>MEDIUM</t>
        </is>
      </c>
      <c r="B14" s="8" t="inlineStr">
        <is>
          <t>Glycine 3g powder</t>
        </is>
      </c>
      <c r="C14" s="8" t="inlineStr">
        <is>
          <t>3g</t>
        </is>
      </c>
      <c r="D14" s="8" t="inlineStr">
        <is>
          <t>Week 4+ sleep (Jan 20)</t>
        </is>
      </c>
      <c r="E14" s="8" t="n">
        <v>12</v>
      </c>
      <c r="F14" s="8" t="inlineStr">
        <is>
          <t>Wait</t>
        </is>
      </c>
    </row>
    <row r="15">
      <c r="A15" s="10" t="inlineStr">
        <is>
          <t>MEDIUM</t>
        </is>
      </c>
      <c r="B15" s="8" t="inlineStr">
        <is>
          <t>Taurine 500mg</t>
        </is>
      </c>
      <c r="C15" s="8" t="inlineStr">
        <is>
          <t>500-1000mg</t>
        </is>
      </c>
      <c r="D15" s="8" t="inlineStr">
        <is>
          <t>Week 4+ safer GABA</t>
        </is>
      </c>
      <c r="E15" s="8" t="n">
        <v>8</v>
      </c>
      <c r="F15" s="8" t="inlineStr">
        <is>
          <t>Wait</t>
        </is>
      </c>
    </row>
    <row r="17">
      <c r="D17" s="11" t="inlineStr">
        <is>
          <t>TOTAL:</t>
        </is>
      </c>
      <c r="E17" s="11">
        <f>SUM(E2:E15)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30" customWidth="1" min="4" max="4"/>
    <col width="10" customWidth="1" min="5" max="5"/>
  </cols>
  <sheetData>
    <row r="1">
      <c r="A1" s="12" t="inlineStr">
        <is>
          <t>Time</t>
        </is>
      </c>
      <c r="B1" s="12" t="inlineStr">
        <is>
          <t>Supplement</t>
        </is>
      </c>
      <c r="C1" s="12" t="inlineStr">
        <is>
          <t>Dose</t>
        </is>
      </c>
      <c r="D1" s="12" t="inlineStr">
        <is>
          <t>Notes</t>
        </is>
      </c>
      <c r="E1" s="12" t="inlineStr">
        <is>
          <t>Status</t>
        </is>
      </c>
    </row>
    <row r="2">
      <c r="A2" s="8" t="inlineStr">
        <is>
          <t>6:30-8:00 AM</t>
        </is>
      </c>
      <c r="B2" s="8" t="inlineStr">
        <is>
          <t>D3 + K2</t>
        </is>
      </c>
      <c r="C2" s="8" t="inlineStr">
        <is>
          <t>5000 IU + 120mcg</t>
        </is>
      </c>
      <c r="D2" s="8" t="inlineStr">
        <is>
          <t>With breakfast (fat)</t>
        </is>
      </c>
      <c r="E2" s="13" t="inlineStr">
        <is>
          <t>ADD</t>
        </is>
      </c>
    </row>
    <row r="3">
      <c r="A3" s="8" t="inlineStr">
        <is>
          <t>6:30-8:00 AM</t>
        </is>
      </c>
      <c r="B3" s="8" t="inlineStr">
        <is>
          <t>Methylfolate</t>
        </is>
      </c>
      <c r="C3" s="8" t="inlineStr">
        <is>
          <t>800mcg</t>
        </is>
      </c>
      <c r="D3" s="8" t="inlineStr">
        <is>
          <t>Morning</t>
        </is>
      </c>
      <c r="E3" s="13" t="inlineStr">
        <is>
          <t>ADD</t>
        </is>
      </c>
    </row>
    <row r="4">
      <c r="A4" s="8" t="inlineStr">
        <is>
          <t>6:30-8:00 AM</t>
        </is>
      </c>
      <c r="B4" s="8" t="inlineStr">
        <is>
          <t>B12 Sublingual</t>
        </is>
      </c>
      <c r="C4" s="8" t="inlineStr">
        <is>
          <t>1000mcg</t>
        </is>
      </c>
      <c r="D4" s="8" t="inlineStr">
        <is>
          <t>Under tongue</t>
        </is>
      </c>
      <c r="E4" s="13" t="inlineStr">
        <is>
          <t>ADD</t>
        </is>
      </c>
    </row>
    <row r="5">
      <c r="A5" s="8" t="inlineStr">
        <is>
          <t>6:30-8:00 AM</t>
        </is>
      </c>
      <c r="B5" s="8" t="inlineStr">
        <is>
          <t>Alpha-GPC</t>
        </is>
      </c>
      <c r="C5" s="8" t="inlineStr">
        <is>
          <t>300mg</t>
        </is>
      </c>
      <c r="D5" s="8" t="inlineStr">
        <is>
          <t>With food</t>
        </is>
      </c>
      <c r="E5" s="13" t="inlineStr">
        <is>
          <t>ADD</t>
        </is>
      </c>
    </row>
    <row r="6">
      <c r="A6" s="8" t="inlineStr">
        <is>
          <t>6:30-8:00 AM</t>
        </is>
      </c>
      <c r="B6" s="8" t="inlineStr">
        <is>
          <t>Selenium</t>
        </is>
      </c>
      <c r="C6" s="8" t="inlineStr">
        <is>
          <t>200mcg</t>
        </is>
      </c>
      <c r="D6" s="8" t="inlineStr">
        <is>
          <t>Split if 2x daily</t>
        </is>
      </c>
      <c r="E6" s="13" t="inlineStr">
        <is>
          <t>ADD</t>
        </is>
      </c>
    </row>
    <row r="7">
      <c r="A7" s="8" t="inlineStr">
        <is>
          <t>6:30-8:00 AM</t>
        </is>
      </c>
      <c r="B7" s="8" t="inlineStr">
        <is>
          <t>Vitamin C</t>
        </is>
      </c>
      <c r="C7" s="8" t="inlineStr">
        <is>
          <t>500mg</t>
        </is>
      </c>
      <c r="D7" s="8" t="inlineStr">
        <is>
          <t>Split dose</t>
        </is>
      </c>
      <c r="E7" s="13" t="inlineStr">
        <is>
          <t>ADD</t>
        </is>
      </c>
    </row>
    <row r="8">
      <c r="A8" s="8" t="inlineStr">
        <is>
          <t>6:30-8:00 AM</t>
        </is>
      </c>
      <c r="B8" s="8" t="inlineStr">
        <is>
          <t>NAC</t>
        </is>
      </c>
      <c r="C8" s="8" t="inlineStr">
        <is>
          <t>600mg</t>
        </is>
      </c>
      <c r="D8" s="8" t="inlineStr">
        <is>
          <t>Away from protein</t>
        </is>
      </c>
      <c r="E8" s="14" t="inlineStr">
        <is>
          <t>HAVE</t>
        </is>
      </c>
    </row>
    <row r="9">
      <c r="A9" s="8" t="inlineStr">
        <is>
          <t>6:30-8:00 AM</t>
        </is>
      </c>
      <c r="B9" s="8" t="inlineStr">
        <is>
          <t>Rhodiola (KAL)</t>
        </is>
      </c>
      <c r="C9" s="8" t="inlineStr">
        <is>
          <t>100mg</t>
        </is>
      </c>
      <c r="D9" s="8" t="inlineStr">
        <is>
          <t>Morning only</t>
        </is>
      </c>
      <c r="E9" s="14" t="inlineStr">
        <is>
          <t>HAVE</t>
        </is>
      </c>
    </row>
    <row r="10">
      <c r="A10" s="8" t="inlineStr">
        <is>
          <t>6:30-8:00 AM</t>
        </is>
      </c>
      <c r="B10" s="8" t="inlineStr">
        <is>
          <t>Creatine</t>
        </is>
      </c>
      <c r="C10" s="8" t="inlineStr">
        <is>
          <t>5g</t>
        </is>
      </c>
      <c r="D10" s="8" t="inlineStr">
        <is>
          <t>Any time</t>
        </is>
      </c>
      <c r="E10" s="13" t="inlineStr">
        <is>
          <t>ADD</t>
        </is>
      </c>
    </row>
    <row r="11">
      <c r="A11" s="8" t="inlineStr">
        <is>
          <t>6:30-8:00 AM</t>
        </is>
      </c>
      <c r="B11" s="8" t="inlineStr">
        <is>
          <t>Magtein</t>
        </is>
      </c>
      <c r="C11" s="8" t="inlineStr">
        <is>
          <t>144mg</t>
        </is>
      </c>
      <c r="D11" s="8" t="inlineStr">
        <is>
          <t>Brain mag</t>
        </is>
      </c>
      <c r="E11" s="14" t="inlineStr">
        <is>
          <t>HAVE</t>
        </is>
      </c>
    </row>
    <row r="12">
      <c r="A12" s="8" t="inlineStr">
        <is>
          <t>6:30-8:00 AM</t>
        </is>
      </c>
      <c r="B12" s="8" t="inlineStr">
        <is>
          <t>Clari-T</t>
        </is>
      </c>
      <c r="C12" s="8" t="inlineStr">
        <is>
          <t>1 cap</t>
        </is>
      </c>
      <c r="D12" s="8" t="inlineStr">
        <is>
          <t>Cognitive</t>
        </is>
      </c>
      <c r="E12" s="14" t="inlineStr">
        <is>
          <t>HAVE</t>
        </is>
      </c>
    </row>
    <row r="13">
      <c r="A13" s="8" t="inlineStr">
        <is>
          <t>12:00-2:00 PM</t>
        </is>
      </c>
      <c r="B13" s="8" t="inlineStr">
        <is>
          <t>Omega-3</t>
        </is>
      </c>
      <c r="C13" s="8" t="inlineStr">
        <is>
          <t>1g</t>
        </is>
      </c>
      <c r="D13" s="8" t="inlineStr">
        <is>
          <t>With lunch (fat)</t>
        </is>
      </c>
      <c r="E13" s="13" t="inlineStr">
        <is>
          <t>ADD</t>
        </is>
      </c>
    </row>
    <row r="14">
      <c r="A14" s="8" t="inlineStr">
        <is>
          <t>12:00-2:00 PM</t>
        </is>
      </c>
      <c r="B14" s="8" t="inlineStr">
        <is>
          <t>Vitamin E</t>
        </is>
      </c>
      <c r="C14" s="8" t="inlineStr">
        <is>
          <t>800 IU</t>
        </is>
      </c>
      <c r="D14" s="8" t="inlineStr">
        <is>
          <t>With fat meal</t>
        </is>
      </c>
      <c r="E14" s="13" t="inlineStr">
        <is>
          <t>ADD</t>
        </is>
      </c>
    </row>
    <row r="15">
      <c r="A15" s="8" t="inlineStr">
        <is>
          <t>Afternoon</t>
        </is>
      </c>
      <c r="B15" s="8" t="inlineStr">
        <is>
          <t>Antioxidant</t>
        </is>
      </c>
      <c r="C15" s="8" t="inlineStr">
        <is>
          <t>1 cap</t>
        </is>
      </c>
      <c r="D15" s="8" t="inlineStr">
        <is>
          <t>Optional</t>
        </is>
      </c>
      <c r="E15" s="14" t="inlineStr">
        <is>
          <t>HAVE</t>
        </is>
      </c>
    </row>
    <row r="16">
      <c r="A16" s="8" t="inlineStr">
        <is>
          <t>5:30-6:30 PM</t>
        </is>
      </c>
      <c r="B16" s="8" t="inlineStr">
        <is>
          <t>Omega-3</t>
        </is>
      </c>
      <c r="C16" s="8" t="inlineStr">
        <is>
          <t>1-2g</t>
        </is>
      </c>
      <c r="D16" s="8" t="inlineStr">
        <is>
          <t>With dinner</t>
        </is>
      </c>
      <c r="E16" s="13" t="inlineStr">
        <is>
          <t>ADD</t>
        </is>
      </c>
    </row>
    <row r="17">
      <c r="A17" s="8" t="inlineStr">
        <is>
          <t>5:30-6:30 PM</t>
        </is>
      </c>
      <c r="B17" s="8" t="inlineStr">
        <is>
          <t>Taurine</t>
        </is>
      </c>
      <c r="C17" s="8" t="inlineStr">
        <is>
          <t>500-1000mg</t>
        </is>
      </c>
      <c r="D17" s="8" t="inlineStr">
        <is>
          <t>Week 4+ (Jan 20)</t>
        </is>
      </c>
      <c r="E17" s="13" t="inlineStr">
        <is>
          <t>ADD</t>
        </is>
      </c>
    </row>
    <row r="18">
      <c r="A18" s="8" t="inlineStr">
        <is>
          <t>8:00 PM</t>
        </is>
      </c>
      <c r="B18" s="8" t="inlineStr">
        <is>
          <t>Mag Glycinate</t>
        </is>
      </c>
      <c r="C18" s="8" t="inlineStr">
        <is>
          <t>300-400mg</t>
        </is>
      </c>
      <c r="D18" s="8" t="inlineStr">
        <is>
          <t>Sleep prep</t>
        </is>
      </c>
      <c r="E18" s="13" t="inlineStr">
        <is>
          <t>ADD</t>
        </is>
      </c>
    </row>
    <row r="19">
      <c r="A19" s="8" t="inlineStr">
        <is>
          <t>8:00 PM</t>
        </is>
      </c>
      <c r="B19" s="8" t="inlineStr">
        <is>
          <t>Glycine</t>
        </is>
      </c>
      <c r="C19" s="8" t="inlineStr">
        <is>
          <t>3g</t>
        </is>
      </c>
      <c r="D19" s="8" t="inlineStr">
        <is>
          <t>Week 4+ (Jan 20)</t>
        </is>
      </c>
      <c r="E19" s="13" t="inlineStr">
        <is>
          <t>ADD</t>
        </is>
      </c>
    </row>
    <row r="20">
      <c r="A20" s="8" t="inlineStr">
        <is>
          <t>8:00 PM</t>
        </is>
      </c>
      <c r="B20" s="8" t="inlineStr">
        <is>
          <t>NAC</t>
        </is>
      </c>
      <c r="C20" s="8" t="inlineStr">
        <is>
          <t>600mg</t>
        </is>
      </c>
      <c r="D20" s="8" t="inlineStr">
        <is>
          <t>Evening dose</t>
        </is>
      </c>
      <c r="E20" s="14" t="inlineStr">
        <is>
          <t>HAVE</t>
        </is>
      </c>
    </row>
    <row r="21">
      <c r="A21" s="8" t="inlineStr">
        <is>
          <t>8:00 PM</t>
        </is>
      </c>
      <c r="B21" s="8" t="inlineStr">
        <is>
          <t>Vitamin C</t>
        </is>
      </c>
      <c r="C21" s="8" t="inlineStr">
        <is>
          <t>500mg</t>
        </is>
      </c>
      <c r="D21" s="8" t="inlineStr">
        <is>
          <t>Split dose</t>
        </is>
      </c>
      <c r="E21" s="13" t="inlineStr">
        <is>
          <t>ADD</t>
        </is>
      </c>
    </row>
    <row r="22">
      <c r="A22" s="8" t="inlineStr">
        <is>
          <t>8:30 PM</t>
        </is>
      </c>
      <c r="B22" s="8" t="inlineStr">
        <is>
          <t>MELATONIN</t>
        </is>
      </c>
      <c r="C22" s="8" t="inlineStr">
        <is>
          <t>0.3mg</t>
        </is>
      </c>
      <c r="D22" s="8" t="inlineStr">
        <is>
          <t>SHARP - chronobiotic</t>
        </is>
      </c>
      <c r="E22" s="13" t="inlineStr">
        <is>
          <t>ADD</t>
        </is>
      </c>
    </row>
    <row r="23">
      <c r="A23" s="8" t="inlineStr">
        <is>
          <t>Post-Workout</t>
        </is>
      </c>
      <c r="B23" s="8" t="inlineStr">
        <is>
          <t>Protein</t>
        </is>
      </c>
      <c r="C23" s="8" t="inlineStr">
        <is>
          <t>50g</t>
        </is>
      </c>
      <c r="D23" s="8" t="inlineStr">
        <is>
          <t>Recovery</t>
        </is>
      </c>
      <c r="E23" s="13" t="inlineStr">
        <is>
          <t>ADD</t>
        </is>
      </c>
    </row>
    <row r="24">
      <c r="A24" s="8" t="inlineStr">
        <is>
          <t>PRN</t>
        </is>
      </c>
      <c r="B24" s="8" t="inlineStr">
        <is>
          <t>L-Theanine</t>
        </is>
      </c>
      <c r="C24" s="8" t="inlineStr">
        <is>
          <t>250mg</t>
        </is>
      </c>
      <c r="D24" s="8" t="inlineStr">
        <is>
          <t>If anxiety</t>
        </is>
      </c>
      <c r="E24" s="14" t="inlineStr">
        <is>
          <t>HAVE</t>
        </is>
      </c>
    </row>
    <row r="25">
      <c r="A25" s="8" t="inlineStr">
        <is>
          <t>PRN</t>
        </is>
      </c>
      <c r="B25" s="8" t="inlineStr">
        <is>
          <t>CoQ10</t>
        </is>
      </c>
      <c r="C25" s="8" t="inlineStr">
        <is>
          <t>200mg</t>
        </is>
      </c>
      <c r="D25" s="8" t="inlineStr">
        <is>
          <t>If fatigue</t>
        </is>
      </c>
      <c r="E25" s="14" t="inlineStr">
        <is>
          <t>HAVE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12" customWidth="1" min="4" max="4"/>
  </cols>
  <sheetData>
    <row r="1">
      <c r="A1" s="15" t="inlineStr">
        <is>
          <t>Category</t>
        </is>
      </c>
      <c r="B1" s="15" t="inlineStr">
        <is>
          <t>Substance</t>
        </is>
      </c>
      <c r="C1" s="15" t="inlineStr">
        <is>
          <t>Reason</t>
        </is>
      </c>
      <c r="D1" s="15" t="inlineStr">
        <is>
          <t>Risk Level</t>
        </is>
      </c>
    </row>
    <row r="2">
      <c r="A2" s="16" t="inlineStr">
        <is>
          <t>B-Vitamins</t>
        </is>
      </c>
      <c r="B2" s="16" t="inlineStr">
        <is>
          <t>AG1, Mega-dose B-complex</t>
        </is>
      </c>
      <c r="C2" s="16" t="inlineStr">
        <is>
          <t>History of B6/Biotin elevation</t>
        </is>
      </c>
      <c r="D2" s="17" t="inlineStr">
        <is>
          <t>HIGH</t>
        </is>
      </c>
    </row>
    <row r="3">
      <c r="A3" s="16" t="inlineStr">
        <is>
          <t>B-Vitamins</t>
        </is>
      </c>
      <c r="B3" s="16" t="inlineStr">
        <is>
          <t>Standalone B6 &gt;25mg</t>
        </is>
      </c>
      <c r="C3" s="16" t="inlineStr">
        <is>
          <t>B6 toxicity (102.9 μg/L)</t>
        </is>
      </c>
      <c r="D3" s="18" t="inlineStr">
        <is>
          <t>CRITICAL</t>
        </is>
      </c>
    </row>
    <row r="4">
      <c r="A4" s="16" t="inlineStr">
        <is>
          <t>B-Vitamins</t>
        </is>
      </c>
      <c r="B4" s="16" t="inlineStr">
        <is>
          <t>Standalone Biotin &gt;1000mcg</t>
        </is>
      </c>
      <c r="C4" s="16" t="inlineStr">
        <is>
          <t>Previous elevation</t>
        </is>
      </c>
      <c r="D4" s="17" t="inlineStr">
        <is>
          <t>HIGH</t>
        </is>
      </c>
    </row>
    <row r="5">
      <c r="A5" s="16" t="inlineStr">
        <is>
          <t>GABAergics</t>
        </is>
      </c>
      <c r="B5" s="16" t="inlineStr">
        <is>
          <t>Benzodiazepines, Z-drugs</t>
        </is>
      </c>
      <c r="C5" s="16" t="inlineStr">
        <is>
          <t>ASD paradox risk (~50%)</t>
        </is>
      </c>
      <c r="D5" s="18" t="inlineStr">
        <is>
          <t>CRITICAL</t>
        </is>
      </c>
    </row>
    <row r="6">
      <c r="A6" s="16" t="inlineStr">
        <is>
          <t>GABAergics</t>
        </is>
      </c>
      <c r="B6" s="16" t="inlineStr">
        <is>
          <t>Valerian, Hops, Passionflower</t>
        </is>
      </c>
      <c r="C6" s="16" t="inlineStr">
        <is>
          <t>ASD paradox risk</t>
        </is>
      </c>
      <c r="D6" s="17" t="inlineStr">
        <is>
          <t>HIGH</t>
        </is>
      </c>
    </row>
    <row r="7">
      <c r="A7" s="16" t="inlineStr">
        <is>
          <t>GABAergics</t>
        </is>
      </c>
      <c r="B7" s="16" t="inlineStr">
        <is>
          <t>Kava, Phenibut, Direct GABA</t>
        </is>
      </c>
      <c r="C7" s="16" t="inlineStr">
        <is>
          <t>ASD paradox + hepatotoxic</t>
        </is>
      </c>
      <c r="D7" s="18" t="inlineStr">
        <is>
          <t>CRITICAL</t>
        </is>
      </c>
    </row>
    <row r="8">
      <c r="A8" s="16" t="inlineStr">
        <is>
          <t>Catecholamines</t>
        </is>
      </c>
      <c r="B8" s="16" t="inlineStr">
        <is>
          <t>L-tyrosine, L-DOPA, Mucuna</t>
        </is>
      </c>
      <c r="C8" s="16" t="inlineStr">
        <is>
          <t>COMT intermediate - slow clearance</t>
        </is>
      </c>
      <c r="D8" s="17" t="inlineStr">
        <is>
          <t>HIGH</t>
        </is>
      </c>
    </row>
    <row r="9">
      <c r="A9" s="16" t="inlineStr">
        <is>
          <t>Methyl donors</t>
        </is>
      </c>
      <c r="B9" s="16" t="inlineStr">
        <is>
          <t>SAMe, TMG, Betaine (high dose)</t>
        </is>
      </c>
      <c r="C9" s="16" t="inlineStr">
        <is>
          <t>COMT intermediate overload</t>
        </is>
      </c>
      <c r="D9" s="19" t="inlineStr">
        <is>
          <t>MODERATE</t>
        </is>
      </c>
    </row>
    <row r="10">
      <c r="A10" s="16" t="inlineStr">
        <is>
          <t>Hepatotoxins</t>
        </is>
      </c>
      <c r="B10" s="16" t="inlineStr">
        <is>
          <t>Alcohol</t>
        </is>
      </c>
      <c r="C10" s="16" t="inlineStr">
        <is>
          <t>NAFLD 98th percentile</t>
        </is>
      </c>
      <c r="D10" s="18" t="inlineStr">
        <is>
          <t>CRITICAL</t>
        </is>
      </c>
    </row>
    <row r="11">
      <c r="A11" s="16" t="inlineStr">
        <is>
          <t>Hepatotoxins</t>
        </is>
      </c>
      <c r="B11" s="16" t="inlineStr">
        <is>
          <t>Acetaminophen (Tylenol)</t>
        </is>
      </c>
      <c r="C11" s="16" t="inlineStr">
        <is>
          <t>Hepatotoxic</t>
        </is>
      </c>
      <c r="D11" s="17" t="inlineStr">
        <is>
          <t>HIGH</t>
        </is>
      </c>
    </row>
    <row r="12">
      <c r="A12" s="16" t="inlineStr">
        <is>
          <t>Hepatotoxins</t>
        </is>
      </c>
      <c r="B12" s="16" t="inlineStr">
        <is>
          <t>High-dose Niacin</t>
        </is>
      </c>
      <c r="C12" s="16" t="inlineStr">
        <is>
          <t>Hepatotoxic</t>
        </is>
      </c>
      <c r="D12" s="17" t="inlineStr">
        <is>
          <t>HIGH</t>
        </is>
      </c>
    </row>
    <row r="13">
      <c r="A13" s="16" t="inlineStr">
        <is>
          <t>Caffeine</t>
        </is>
      </c>
      <c r="B13" s="16" t="inlineStr">
        <is>
          <t>&gt;200mg or after 10 AM</t>
        </is>
      </c>
      <c r="C13" s="16" t="inlineStr">
        <is>
          <t>CYP1A2 slow metabolizer</t>
        </is>
      </c>
      <c r="D13" s="19" t="inlineStr">
        <is>
          <t>MODERATE</t>
        </is>
      </c>
    </row>
    <row r="14">
      <c r="A14" s="16" t="inlineStr">
        <is>
          <t>Melatonin</t>
        </is>
      </c>
      <c r="B14" s="16" t="inlineStr">
        <is>
          <t>&gt;0.5mg doses</t>
        </is>
      </c>
      <c r="C14" s="16" t="inlineStr">
        <is>
          <t>Suppresses REM at high dose</t>
        </is>
      </c>
      <c r="D14" s="19" t="inlineStr">
        <is>
          <t>MODERATE</t>
        </is>
      </c>
    </row>
    <row r="15">
      <c r="A15" s="16" t="inlineStr">
        <is>
          <t>Histamine</t>
        </is>
      </c>
      <c r="B15" s="16" t="inlineStr">
        <is>
          <t>L. casei, L. bulgaricus probiotics</t>
        </is>
      </c>
      <c r="C15" s="16" t="inlineStr">
        <is>
          <t>DAO gene variants (78.5% ADHD)</t>
        </is>
      </c>
      <c r="D15" s="19" t="inlineStr">
        <is>
          <t>MODERATE</t>
        </is>
      </c>
    </row>
    <row r="16">
      <c r="A16" s="16" t="inlineStr">
        <is>
          <t>Serotonergic</t>
        </is>
      </c>
      <c r="B16" s="16" t="inlineStr">
        <is>
          <t>5-HTP, Tryptophan, St. John's Wort</t>
        </is>
      </c>
      <c r="C16" s="16" t="inlineStr">
        <is>
          <t>Serotonin syndrome risk</t>
        </is>
      </c>
      <c r="D16" s="1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2026-01-05T18:33:13Z</dcterms:created>
  <dcterms:modified xsi:type="dcterms:W3CDTF">2026-01-05T18:33:13Z</dcterms:modified>
</cp:coreProperties>
</file>